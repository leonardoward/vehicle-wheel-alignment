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255" windowWidth="20115" windowHeight="7815"/>
  </bookViews>
  <sheets>
    <sheet name="Hoja1" sheetId="1" r:id="rId1"/>
    <sheet name="Hoja2" sheetId="2" r:id="rId2"/>
    <sheet name="Hoja3" sheetId="3" r:id="rId3"/>
  </sheets>
  <calcPr calcId="145621"/>
</workbook>
</file>

<file path=xl/calcChain.xml><?xml version="1.0" encoding="utf-8"?>
<calcChain xmlns="http://schemas.openxmlformats.org/spreadsheetml/2006/main">
  <c r="E38" i="1" l="1"/>
  <c r="E39" i="1"/>
  <c r="E40" i="1"/>
  <c r="E41" i="1"/>
  <c r="E42" i="1"/>
  <c r="E43" i="1"/>
  <c r="J52" i="1"/>
  <c r="J53" i="1"/>
  <c r="J54" i="1"/>
  <c r="J55" i="1"/>
  <c r="J51" i="1"/>
  <c r="H52" i="1"/>
  <c r="H53" i="1"/>
  <c r="H54" i="1"/>
  <c r="H55" i="1"/>
  <c r="J23" i="1" l="1"/>
  <c r="J24" i="1"/>
  <c r="J25" i="1"/>
  <c r="J26" i="1"/>
  <c r="J27" i="1"/>
  <c r="J22" i="1"/>
  <c r="H27" i="1"/>
  <c r="H26" i="1"/>
  <c r="H25" i="1"/>
  <c r="H51" i="1" l="1"/>
  <c r="H23" i="1"/>
  <c r="H24" i="1"/>
  <c r="H22" i="1" l="1"/>
  <c r="F10" i="1"/>
</calcChain>
</file>

<file path=xl/sharedStrings.xml><?xml version="1.0" encoding="utf-8"?>
<sst xmlns="http://schemas.openxmlformats.org/spreadsheetml/2006/main" count="53" uniqueCount="37">
  <si>
    <t>V1</t>
  </si>
  <si>
    <t>V2</t>
  </si>
  <si>
    <t>R2</t>
  </si>
  <si>
    <t>R1</t>
  </si>
  <si>
    <t>Vo</t>
  </si>
  <si>
    <t>Amplificador Operacional Diferencial Ideal</t>
  </si>
  <si>
    <t>R3</t>
  </si>
  <si>
    <t>R4</t>
  </si>
  <si>
    <t>Amplificador Operacional Diferencial Real</t>
  </si>
  <si>
    <t>Vo (teórico)</t>
  </si>
  <si>
    <t>Amplificador Operacional Diferencial</t>
  </si>
  <si>
    <t>Vo (mul)</t>
  </si>
  <si>
    <t>Ganancia</t>
  </si>
  <si>
    <t xml:space="preserve"> </t>
  </si>
  <si>
    <t>V1=500mv dc</t>
  </si>
  <si>
    <t>V2=1vpico-pico, 1KHz</t>
  </si>
  <si>
    <t>V2=2,12vpico-pico, 1KHz</t>
  </si>
  <si>
    <t>Vin</t>
  </si>
  <si>
    <t>Vout</t>
  </si>
  <si>
    <t>5V  dc</t>
  </si>
  <si>
    <t>5V dc</t>
  </si>
  <si>
    <t>Frecuencia</t>
  </si>
  <si>
    <t>Vin pico-pico</t>
  </si>
  <si>
    <t>Vout pico-pico</t>
  </si>
  <si>
    <t>1 KHz</t>
  </si>
  <si>
    <t>10 KHz</t>
  </si>
  <si>
    <t>100 KHz</t>
  </si>
  <si>
    <t>500 KHz</t>
  </si>
  <si>
    <t>1 MHz</t>
  </si>
  <si>
    <t>575 KHz</t>
  </si>
  <si>
    <t>Seguidor de Voltaje DC</t>
  </si>
  <si>
    <t>Seguidor de Voltaje AC</t>
  </si>
  <si>
    <t>R2 (KΩ)</t>
  </si>
  <si>
    <t>R3 (KΩ)</t>
  </si>
  <si>
    <r>
      <t>R1 (K</t>
    </r>
    <r>
      <rPr>
        <sz val="12"/>
        <color theme="1"/>
        <rFont val="Arial"/>
        <family val="2"/>
      </rPr>
      <t>Ω</t>
    </r>
    <r>
      <rPr>
        <sz val="12"/>
        <color theme="1"/>
        <rFont val="Times New Roman"/>
        <family val="1"/>
      </rPr>
      <t>)</t>
    </r>
  </si>
  <si>
    <t>Amplificador Operacional de Instrumentación</t>
  </si>
  <si>
    <t>Rgain (KΩ)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</si>
</sst>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2"/>
      <color theme="1"/>
      <name val="Arial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0" xfId="0" applyFont="1" applyBorder="1"/>
    <xf numFmtId="0" fontId="0" fillId="0" borderId="0" xfId="0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/>
    <xf numFmtId="2" fontId="1" fillId="0" borderId="1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Ganancia</a:t>
            </a:r>
            <a:r>
              <a:rPr lang="es-ES" baseline="0"/>
              <a:t> vs. R gain</a:t>
            </a:r>
            <a:endParaRPr lang="es-ES"/>
          </a:p>
        </c:rich>
      </c:tx>
      <c:layout/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xVal>
            <c:numRef>
              <c:f>Hoja1!$B$65:$B$69</c:f>
              <c:numCache>
                <c:formatCode>General</c:formatCode>
                <c:ptCount val="5"/>
                <c:pt idx="0">
                  <c:v>0.1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0.95899999999999996</c:v>
                </c:pt>
              </c:numCache>
            </c:numRef>
          </c:xVal>
          <c:yVal>
            <c:numRef>
              <c:f>Hoja1!$C$65:$C$69</c:f>
              <c:numCache>
                <c:formatCode>General</c:formatCode>
                <c:ptCount val="5"/>
                <c:pt idx="0">
                  <c:v>13.61</c:v>
                </c:pt>
                <c:pt idx="1">
                  <c:v>9.66</c:v>
                </c:pt>
                <c:pt idx="2">
                  <c:v>5.35</c:v>
                </c:pt>
                <c:pt idx="3">
                  <c:v>3.72</c:v>
                </c:pt>
                <c:pt idx="4">
                  <c:v>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566272"/>
        <c:axId val="94375936"/>
      </c:scatterChart>
      <c:valAx>
        <c:axId val="945662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Resistencia</a:t>
                </a:r>
                <a:r>
                  <a:rPr lang="es-ES" baseline="0"/>
                  <a:t> (K</a:t>
                </a:r>
                <a:r>
                  <a:rPr lang="el-GR" baseline="0">
                    <a:latin typeface="Arial"/>
                    <a:cs typeface="Arial"/>
                  </a:rPr>
                  <a:t>Ω</a:t>
                </a:r>
                <a:r>
                  <a:rPr lang="es-ES" baseline="0"/>
                  <a:t>)</a:t>
                </a:r>
                <a:endParaRPr lang="es-E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94375936"/>
        <c:crosses val="autoZero"/>
        <c:crossBetween val="midCat"/>
      </c:valAx>
      <c:valAx>
        <c:axId val="9437593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s-ES"/>
                  <a:t>Ganancia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9456627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Respuesta</a:t>
            </a:r>
            <a:r>
              <a:rPr lang="es-ES" baseline="0"/>
              <a:t> en Frecuencia (Seguidor)</a:t>
            </a:r>
            <a:endParaRPr lang="es-ES"/>
          </a:p>
        </c:rich>
      </c:tx>
      <c:layout/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xVal>
            <c:numRef>
              <c:f>Hoja1!$G$37:$G$42</c:f>
              <c:numCache>
                <c:formatCode>General</c:formatCode>
                <c:ptCount val="6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500</c:v>
                </c:pt>
                <c:pt idx="4">
                  <c:v>575</c:v>
                </c:pt>
                <c:pt idx="5">
                  <c:v>1000</c:v>
                </c:pt>
              </c:numCache>
            </c:numRef>
          </c:xVal>
          <c:yVal>
            <c:numRef>
              <c:f>Hoja1!$H$37:$H$42</c:f>
              <c:numCache>
                <c:formatCode>0.00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0.8</c:v>
                </c:pt>
                <c:pt idx="4">
                  <c:v>0.7</c:v>
                </c:pt>
                <c:pt idx="5">
                  <c:v>0.4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507008"/>
        <c:axId val="94508544"/>
      </c:scatterChart>
      <c:valAx>
        <c:axId val="945070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94508544"/>
        <c:crosses val="autoZero"/>
        <c:crossBetween val="midCat"/>
      </c:valAx>
      <c:valAx>
        <c:axId val="94508544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9450700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chart" Target="../charts/chart2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1.xml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180975</xdr:colOff>
      <xdr:row>0</xdr:row>
      <xdr:rowOff>152400</xdr:rowOff>
    </xdr:from>
    <xdr:to>
      <xdr:col>15</xdr:col>
      <xdr:colOff>170785</xdr:colOff>
      <xdr:row>16</xdr:row>
      <xdr:rowOff>18686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76975" y="152400"/>
          <a:ext cx="5323810" cy="2914286"/>
        </a:xfrm>
        <a:prstGeom prst="rect">
          <a:avLst/>
        </a:prstGeom>
      </xdr:spPr>
    </xdr:pic>
    <xdr:clientData/>
  </xdr:twoCellAnchor>
  <xdr:twoCellAnchor editAs="oneCell">
    <xdr:from>
      <xdr:col>2</xdr:col>
      <xdr:colOff>95250</xdr:colOff>
      <xdr:row>2</xdr:row>
      <xdr:rowOff>142875</xdr:rowOff>
    </xdr:from>
    <xdr:to>
      <xdr:col>4</xdr:col>
      <xdr:colOff>372687</xdr:colOff>
      <xdr:row>6</xdr:row>
      <xdr:rowOff>114208</xdr:rowOff>
    </xdr:to>
    <xdr:pic>
      <xdr:nvPicPr>
        <xdr:cNvPr id="4" name="3 Imagen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19250" y="523875"/>
          <a:ext cx="2028572" cy="733333"/>
        </a:xfrm>
        <a:prstGeom prst="rect">
          <a:avLst/>
        </a:prstGeom>
      </xdr:spPr>
    </xdr:pic>
    <xdr:clientData/>
  </xdr:twoCellAnchor>
  <xdr:twoCellAnchor editAs="oneCell">
    <xdr:from>
      <xdr:col>1</xdr:col>
      <xdr:colOff>533400</xdr:colOff>
      <xdr:row>13</xdr:row>
      <xdr:rowOff>0</xdr:rowOff>
    </xdr:from>
    <xdr:to>
      <xdr:col>6</xdr:col>
      <xdr:colOff>162932</xdr:colOff>
      <xdr:row>18</xdr:row>
      <xdr:rowOff>66548</xdr:rowOff>
    </xdr:to>
    <xdr:pic>
      <xdr:nvPicPr>
        <xdr:cNvPr id="5" name="4 Imagen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95400" y="2476500"/>
          <a:ext cx="3666667" cy="1019048"/>
        </a:xfrm>
        <a:prstGeom prst="rect">
          <a:avLst/>
        </a:prstGeom>
      </xdr:spPr>
    </xdr:pic>
    <xdr:clientData/>
  </xdr:twoCellAnchor>
  <xdr:twoCellAnchor editAs="oneCell">
    <xdr:from>
      <xdr:col>10</xdr:col>
      <xdr:colOff>495300</xdr:colOff>
      <xdr:row>47</xdr:row>
      <xdr:rowOff>123825</xdr:rowOff>
    </xdr:from>
    <xdr:to>
      <xdr:col>14</xdr:col>
      <xdr:colOff>728980</xdr:colOff>
      <xdr:row>58</xdr:row>
      <xdr:rowOff>74588</xdr:rowOff>
    </xdr:to>
    <xdr:pic>
      <xdr:nvPicPr>
        <xdr:cNvPr id="6" name="5 Imagen"/>
        <xdr:cNvPicPr/>
      </xdr:nvPicPr>
      <xdr:blipFill rotWithShape="1">
        <a:blip xmlns:r="http://schemas.openxmlformats.org/officeDocument/2006/relationships" r:embed="rId4"/>
        <a:srcRect l="70110" t="28129" r="2711" b="40363"/>
        <a:stretch/>
      </xdr:blipFill>
      <xdr:spPr bwMode="auto">
        <a:xfrm>
          <a:off x="8115300" y="6524625"/>
          <a:ext cx="3281680" cy="213931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11</xdr:col>
      <xdr:colOff>57150</xdr:colOff>
      <xdr:row>59</xdr:row>
      <xdr:rowOff>38100</xdr:rowOff>
    </xdr:from>
    <xdr:to>
      <xdr:col>14</xdr:col>
      <xdr:colOff>290195</xdr:colOff>
      <xdr:row>61</xdr:row>
      <xdr:rowOff>121286</xdr:rowOff>
    </xdr:to>
    <xdr:pic>
      <xdr:nvPicPr>
        <xdr:cNvPr id="7" name="6 Imagen" descr="V_{out}=(V_2-V_1)\left(1+\frac{2R_1}{R_g}\right)\frac{R_3}{R_2}"/>
        <xdr:cNvPicPr/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39150" y="8743950"/>
          <a:ext cx="2519045" cy="48323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381000</xdr:colOff>
      <xdr:row>57</xdr:row>
      <xdr:rowOff>170717</xdr:rowOff>
    </xdr:from>
    <xdr:to>
      <xdr:col>9</xdr:col>
      <xdr:colOff>227134</xdr:colOff>
      <xdr:row>72</xdr:row>
      <xdr:rowOff>19783</xdr:rowOff>
    </xdr:to>
    <xdr:graphicFrame macro="">
      <xdr:nvGraphicFramePr>
        <xdr:cNvPr id="2" name="1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468922</xdr:colOff>
      <xdr:row>32</xdr:row>
      <xdr:rowOff>141409</xdr:rowOff>
    </xdr:from>
    <xdr:to>
      <xdr:col>11</xdr:col>
      <xdr:colOff>468922</xdr:colOff>
      <xdr:row>47</xdr:row>
      <xdr:rowOff>27109</xdr:rowOff>
    </xdr:to>
    <xdr:graphicFrame macro="">
      <xdr:nvGraphicFramePr>
        <xdr:cNvPr id="8" name="7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9"/>
  <sheetViews>
    <sheetView tabSelected="1" topLeftCell="D44" zoomScale="130" zoomScaleNormal="130" workbookViewId="0">
      <selection activeCell="G55" sqref="G55"/>
    </sheetView>
  </sheetViews>
  <sheetFormatPr baseColWidth="10" defaultRowHeight="15" x14ac:dyDescent="0.25"/>
  <cols>
    <col min="3" max="3" width="12.5703125" customWidth="1"/>
    <col min="4" max="4" width="13.7109375" customWidth="1"/>
  </cols>
  <sheetData>
    <row r="1" spans="2:16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2:16" x14ac:dyDescent="0.25">
      <c r="B2" s="21" t="s">
        <v>5</v>
      </c>
      <c r="C2" s="21"/>
      <c r="D2" s="21"/>
      <c r="E2" s="21"/>
      <c r="F2" s="21"/>
      <c r="G2" s="1"/>
      <c r="H2" s="1"/>
      <c r="I2" s="1"/>
      <c r="J2" s="1"/>
      <c r="K2" s="1"/>
      <c r="L2" s="1"/>
      <c r="M2" s="1"/>
      <c r="N2" s="1"/>
      <c r="O2" s="1"/>
      <c r="P2" s="1"/>
    </row>
    <row r="3" spans="2:16" x14ac:dyDescent="0.25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2:16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2:16" x14ac:dyDescent="0.2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2:16" x14ac:dyDescent="0.25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2:16" x14ac:dyDescent="0.25">
      <c r="B7" s="5"/>
      <c r="C7" s="5"/>
      <c r="D7" s="5"/>
      <c r="E7" s="5"/>
      <c r="F7" s="5"/>
      <c r="G7" s="5"/>
      <c r="H7" s="1"/>
      <c r="I7" s="1"/>
      <c r="J7" s="1"/>
      <c r="K7" s="1"/>
      <c r="L7" s="1"/>
      <c r="M7" s="1"/>
      <c r="N7" s="1"/>
      <c r="O7" s="1"/>
      <c r="P7" s="1"/>
    </row>
    <row r="8" spans="2:16" x14ac:dyDescent="0.25">
      <c r="B8" s="22" t="s">
        <v>5</v>
      </c>
      <c r="C8" s="22"/>
      <c r="D8" s="22"/>
      <c r="E8" s="22"/>
      <c r="F8" s="22"/>
      <c r="G8" s="5"/>
      <c r="H8" s="1"/>
      <c r="I8" s="1"/>
      <c r="J8" s="1"/>
      <c r="K8" s="1"/>
      <c r="L8" s="1"/>
      <c r="M8" s="1"/>
      <c r="N8" s="1"/>
      <c r="O8" s="1"/>
      <c r="P8" s="1"/>
    </row>
    <row r="9" spans="2:16" x14ac:dyDescent="0.25">
      <c r="B9" s="7" t="s">
        <v>0</v>
      </c>
      <c r="C9" s="7" t="s">
        <v>1</v>
      </c>
      <c r="D9" s="7" t="s">
        <v>2</v>
      </c>
      <c r="E9" s="7" t="s">
        <v>3</v>
      </c>
      <c r="F9" s="7" t="s">
        <v>4</v>
      </c>
      <c r="G9" s="5"/>
      <c r="H9" s="1"/>
      <c r="I9" s="1"/>
      <c r="J9" s="1"/>
      <c r="K9" s="1"/>
      <c r="L9" s="1"/>
      <c r="M9" s="1"/>
      <c r="N9" s="1"/>
      <c r="O9" s="1"/>
      <c r="P9" s="1"/>
    </row>
    <row r="10" spans="2:16" x14ac:dyDescent="0.25">
      <c r="B10" s="7">
        <v>4.6399999999999997</v>
      </c>
      <c r="C10" s="7">
        <v>3.3</v>
      </c>
      <c r="D10" s="7">
        <v>1</v>
      </c>
      <c r="E10" s="7">
        <v>1</v>
      </c>
      <c r="F10" s="7">
        <f>(D10/E10)*(B10-C10)</f>
        <v>1.3399999999999999</v>
      </c>
      <c r="G10" s="5"/>
      <c r="H10" s="1"/>
      <c r="I10" s="1"/>
      <c r="J10" s="1"/>
      <c r="K10" s="1"/>
      <c r="L10" s="1"/>
      <c r="M10" s="1"/>
      <c r="N10" s="1"/>
      <c r="O10" s="1"/>
      <c r="P10" s="1"/>
    </row>
    <row r="11" spans="2:16" x14ac:dyDescent="0.25">
      <c r="B11" s="2"/>
      <c r="C11" s="2"/>
      <c r="D11" s="2"/>
      <c r="E11" s="2"/>
      <c r="F11" s="2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2:16" x14ac:dyDescent="0.25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2:16" x14ac:dyDescent="0.25">
      <c r="B13" s="21" t="s">
        <v>8</v>
      </c>
      <c r="C13" s="21"/>
      <c r="D13" s="21"/>
      <c r="E13" s="21"/>
      <c r="F13" s="21"/>
      <c r="G13" s="21"/>
      <c r="H13" s="21"/>
      <c r="I13" s="1"/>
      <c r="J13" s="1"/>
      <c r="K13" s="1"/>
      <c r="L13" s="1"/>
      <c r="M13" s="1"/>
      <c r="N13" s="1"/>
      <c r="O13" s="1"/>
      <c r="P13" s="1"/>
    </row>
    <row r="14" spans="2:16" x14ac:dyDescent="0.25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2:16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2:16" x14ac:dyDescent="0.25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2:16" x14ac:dyDescent="0.25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2:16" x14ac:dyDescent="0.25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2:16" x14ac:dyDescent="0.25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2:16" x14ac:dyDescent="0.25">
      <c r="B20" s="22" t="s">
        <v>10</v>
      </c>
      <c r="C20" s="22"/>
      <c r="D20" s="22"/>
      <c r="E20" s="22"/>
      <c r="F20" s="22"/>
      <c r="G20" s="22"/>
      <c r="H20" s="22"/>
      <c r="I20" s="22"/>
      <c r="J20" s="22"/>
      <c r="K20" s="1"/>
      <c r="L20" s="1"/>
      <c r="M20" s="1"/>
      <c r="N20" s="1"/>
      <c r="O20" s="1"/>
      <c r="P20" s="1"/>
    </row>
    <row r="21" spans="2:16" ht="15.75" x14ac:dyDescent="0.25">
      <c r="B21" s="3" t="s">
        <v>0</v>
      </c>
      <c r="C21" s="3" t="s">
        <v>1</v>
      </c>
      <c r="D21" s="3" t="s">
        <v>3</v>
      </c>
      <c r="E21" s="3" t="s">
        <v>2</v>
      </c>
      <c r="F21" s="14" t="s">
        <v>6</v>
      </c>
      <c r="G21" s="14" t="s">
        <v>7</v>
      </c>
      <c r="H21" s="3" t="s">
        <v>9</v>
      </c>
      <c r="I21" s="7" t="s">
        <v>11</v>
      </c>
      <c r="J21" s="4" t="s">
        <v>12</v>
      </c>
      <c r="K21" s="1"/>
      <c r="L21" s="1"/>
      <c r="M21" s="1"/>
      <c r="N21" s="1"/>
      <c r="O21" s="1"/>
      <c r="P21" s="1"/>
    </row>
    <row r="22" spans="2:16" ht="15.75" x14ac:dyDescent="0.25">
      <c r="B22" s="10">
        <v>0.496</v>
      </c>
      <c r="C22" s="10">
        <v>0</v>
      </c>
      <c r="D22" s="10">
        <v>10000</v>
      </c>
      <c r="E22" s="10">
        <v>100000</v>
      </c>
      <c r="F22" s="11">
        <v>10000</v>
      </c>
      <c r="G22" s="11">
        <v>100000</v>
      </c>
      <c r="H22" s="12">
        <f>(((E22*(1+(D22/E22)))/(D22*(1+(F22/G22))))*B22)-(C22*(E22/D22))</f>
        <v>4.9600000000000009</v>
      </c>
      <c r="I22" s="10">
        <v>5</v>
      </c>
      <c r="J22" s="10">
        <f>I22/(B22-C22)</f>
        <v>10.080645161290322</v>
      </c>
      <c r="K22" s="1"/>
      <c r="L22" s="1"/>
      <c r="M22" s="1"/>
      <c r="N22" s="1"/>
      <c r="O22" s="1"/>
      <c r="P22" s="1"/>
    </row>
    <row r="23" spans="2:16" ht="15.75" x14ac:dyDescent="0.25">
      <c r="B23" s="10">
        <v>1.01</v>
      </c>
      <c r="C23" s="10">
        <v>0</v>
      </c>
      <c r="D23" s="10">
        <v>10000</v>
      </c>
      <c r="E23" s="10">
        <v>100000</v>
      </c>
      <c r="F23" s="11">
        <v>10000</v>
      </c>
      <c r="G23" s="11">
        <v>100000</v>
      </c>
      <c r="H23" s="12">
        <f t="shared" ref="H23:H27" si="0">(((E23*(1+(D23/E23)))/(D23*(1+(F23/G23))))*B23)-(C23*(E23/D23))</f>
        <v>10.100000000000001</v>
      </c>
      <c r="I23" s="10">
        <v>10.3</v>
      </c>
      <c r="J23" s="10">
        <f t="shared" ref="J23:J27" si="1">I23/(B23-C23)</f>
        <v>10.198019801980198</v>
      </c>
      <c r="K23" s="1" t="s">
        <v>13</v>
      </c>
      <c r="L23" s="1"/>
      <c r="M23" s="1"/>
      <c r="N23" s="1"/>
      <c r="O23" s="1"/>
      <c r="P23" s="1"/>
    </row>
    <row r="24" spans="2:16" ht="15.75" x14ac:dyDescent="0.25">
      <c r="B24" s="10">
        <v>1.2</v>
      </c>
      <c r="C24" s="10">
        <v>0</v>
      </c>
      <c r="D24" s="10">
        <v>10000</v>
      </c>
      <c r="E24" s="10">
        <v>100000</v>
      </c>
      <c r="F24" s="11">
        <v>10000</v>
      </c>
      <c r="G24" s="11">
        <v>100000</v>
      </c>
      <c r="H24" s="12">
        <f t="shared" si="0"/>
        <v>12.000000000000002</v>
      </c>
      <c r="I24" s="10">
        <v>12.2</v>
      </c>
      <c r="J24" s="10">
        <f t="shared" si="1"/>
        <v>10.166666666666666</v>
      </c>
      <c r="K24" s="1"/>
      <c r="L24" s="1"/>
      <c r="M24" s="1"/>
      <c r="N24" s="1"/>
      <c r="O24" s="1"/>
      <c r="P24" s="1"/>
    </row>
    <row r="25" spans="2:16" ht="15.75" x14ac:dyDescent="0.25">
      <c r="B25" s="10">
        <v>0</v>
      </c>
      <c r="C25" s="10">
        <v>0.501</v>
      </c>
      <c r="D25" s="10">
        <v>10000</v>
      </c>
      <c r="E25" s="10">
        <v>100000</v>
      </c>
      <c r="F25" s="11">
        <v>10000</v>
      </c>
      <c r="G25" s="11">
        <v>100000</v>
      </c>
      <c r="H25" s="12">
        <f>(((E25*(1+(D25/E25)))/(D25*(1+(F25/G25))))*B25)-(C25*(E25/D25))</f>
        <v>-5.01</v>
      </c>
      <c r="I25" s="10">
        <v>-5.09</v>
      </c>
      <c r="J25" s="10">
        <f t="shared" si="1"/>
        <v>10.159680638722554</v>
      </c>
      <c r="K25" s="1"/>
      <c r="L25" s="1"/>
      <c r="M25" s="1"/>
      <c r="N25" s="1"/>
      <c r="O25" s="1"/>
      <c r="P25" s="1"/>
    </row>
    <row r="26" spans="2:16" ht="15.75" x14ac:dyDescent="0.25">
      <c r="B26" s="10">
        <v>0</v>
      </c>
      <c r="C26" s="10">
        <v>1</v>
      </c>
      <c r="D26" s="10">
        <v>10000</v>
      </c>
      <c r="E26" s="10">
        <v>100000</v>
      </c>
      <c r="F26" s="11">
        <v>10000</v>
      </c>
      <c r="G26" s="11">
        <v>100000</v>
      </c>
      <c r="H26" s="12">
        <f t="shared" si="0"/>
        <v>-10</v>
      </c>
      <c r="I26" s="10">
        <v>-10.25</v>
      </c>
      <c r="J26" s="10">
        <f t="shared" si="1"/>
        <v>10.25</v>
      </c>
      <c r="K26" s="1"/>
      <c r="L26" s="1"/>
      <c r="M26" s="1"/>
      <c r="N26" s="1"/>
      <c r="O26" s="1"/>
      <c r="P26" s="1"/>
    </row>
    <row r="27" spans="2:16" ht="15.75" x14ac:dyDescent="0.25">
      <c r="B27" s="10">
        <v>0</v>
      </c>
      <c r="C27" s="10">
        <v>1.2</v>
      </c>
      <c r="D27" s="10">
        <v>10000</v>
      </c>
      <c r="E27" s="10">
        <v>100000</v>
      </c>
      <c r="F27" s="11">
        <v>10000</v>
      </c>
      <c r="G27" s="11">
        <v>100000</v>
      </c>
      <c r="H27" s="12">
        <f t="shared" si="0"/>
        <v>-12</v>
      </c>
      <c r="I27" s="10">
        <v>-12.29</v>
      </c>
      <c r="J27" s="10">
        <f t="shared" si="1"/>
        <v>10.241666666666667</v>
      </c>
      <c r="K27" s="1"/>
      <c r="L27" s="1"/>
      <c r="M27" s="1"/>
      <c r="N27" s="1"/>
      <c r="O27" s="1"/>
      <c r="P27" s="1"/>
    </row>
    <row r="28" spans="2:16" x14ac:dyDescent="0.25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2:16" x14ac:dyDescent="0.25">
      <c r="B29" s="1" t="s">
        <v>14</v>
      </c>
      <c r="C29" s="1"/>
      <c r="D29" s="1" t="s">
        <v>15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2:16" x14ac:dyDescent="0.25">
      <c r="B30" s="1" t="s">
        <v>14</v>
      </c>
      <c r="C30" s="1"/>
      <c r="D30" s="1" t="s">
        <v>16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2:16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2:16" x14ac:dyDescent="0.25">
      <c r="B32" s="19" t="s">
        <v>30</v>
      </c>
      <c r="C32" s="19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2:16" x14ac:dyDescent="0.25">
      <c r="B33" s="4" t="s">
        <v>17</v>
      </c>
      <c r="C33" s="4" t="s">
        <v>18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2:16" x14ac:dyDescent="0.25">
      <c r="B34" s="2" t="s">
        <v>19</v>
      </c>
      <c r="C34" s="2" t="s">
        <v>20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2:16" x14ac:dyDescent="0.25">
      <c r="B35" s="5"/>
      <c r="C35" s="5"/>
      <c r="D35" s="5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2:16" x14ac:dyDescent="0.25">
      <c r="B36" s="19" t="s">
        <v>31</v>
      </c>
      <c r="C36" s="19"/>
      <c r="D36" s="19"/>
      <c r="E36" s="19"/>
      <c r="F36" s="1"/>
      <c r="G36" s="2" t="s">
        <v>21</v>
      </c>
      <c r="H36" s="2" t="s">
        <v>12</v>
      </c>
      <c r="I36" s="1"/>
      <c r="J36" s="1"/>
      <c r="K36" s="1"/>
      <c r="L36" s="1"/>
      <c r="M36" s="1"/>
      <c r="N36" s="1"/>
      <c r="O36" s="1"/>
      <c r="P36" s="1"/>
    </row>
    <row r="37" spans="2:16" x14ac:dyDescent="0.25">
      <c r="B37" s="2" t="s">
        <v>21</v>
      </c>
      <c r="C37" s="2" t="s">
        <v>22</v>
      </c>
      <c r="D37" s="13" t="s">
        <v>23</v>
      </c>
      <c r="E37" s="2" t="s">
        <v>12</v>
      </c>
      <c r="F37" s="1"/>
      <c r="G37" s="2">
        <v>1</v>
      </c>
      <c r="H37" s="10">
        <v>1</v>
      </c>
      <c r="I37" s="1"/>
      <c r="J37" s="1"/>
      <c r="K37" s="1"/>
      <c r="L37" s="1"/>
      <c r="M37" s="1"/>
      <c r="N37" s="1"/>
      <c r="O37" s="1"/>
      <c r="P37" s="1"/>
    </row>
    <row r="38" spans="2:16" x14ac:dyDescent="0.25">
      <c r="B38" s="2" t="s">
        <v>24</v>
      </c>
      <c r="C38" s="10">
        <v>1</v>
      </c>
      <c r="D38" s="10">
        <v>1</v>
      </c>
      <c r="E38" s="10">
        <f>D38/C38</f>
        <v>1</v>
      </c>
      <c r="F38" s="1"/>
      <c r="G38" s="2">
        <v>10</v>
      </c>
      <c r="H38" s="10">
        <v>1</v>
      </c>
      <c r="I38" s="1"/>
      <c r="J38" s="1"/>
      <c r="K38" s="1"/>
      <c r="L38" s="1"/>
      <c r="M38" s="1"/>
      <c r="N38" s="1"/>
      <c r="O38" s="1"/>
      <c r="P38" s="1"/>
    </row>
    <row r="39" spans="2:16" x14ac:dyDescent="0.25">
      <c r="B39" s="2" t="s">
        <v>25</v>
      </c>
      <c r="C39" s="10">
        <v>1</v>
      </c>
      <c r="D39" s="10">
        <v>1</v>
      </c>
      <c r="E39" s="10">
        <f t="shared" ref="E39:E43" si="2">D39/C39</f>
        <v>1</v>
      </c>
      <c r="F39" s="1"/>
      <c r="G39" s="2">
        <v>100</v>
      </c>
      <c r="H39" s="10">
        <v>1</v>
      </c>
      <c r="I39" s="1"/>
      <c r="J39" s="1"/>
      <c r="K39" s="1"/>
      <c r="L39" s="1"/>
      <c r="M39" s="1"/>
      <c r="N39" s="1"/>
      <c r="O39" s="1"/>
      <c r="P39" s="1"/>
    </row>
    <row r="40" spans="2:16" x14ac:dyDescent="0.25">
      <c r="B40" s="2" t="s">
        <v>26</v>
      </c>
      <c r="C40" s="10">
        <v>1</v>
      </c>
      <c r="D40" s="10">
        <v>1</v>
      </c>
      <c r="E40" s="10">
        <f t="shared" si="2"/>
        <v>1</v>
      </c>
      <c r="F40" s="1"/>
      <c r="G40" s="2">
        <v>500</v>
      </c>
      <c r="H40" s="10">
        <v>0.8</v>
      </c>
      <c r="I40" s="1"/>
      <c r="J40" s="1"/>
      <c r="K40" s="1"/>
      <c r="L40" s="1"/>
      <c r="M40" s="1"/>
      <c r="N40" s="1"/>
      <c r="O40" s="1"/>
      <c r="P40" s="1"/>
    </row>
    <row r="41" spans="2:16" x14ac:dyDescent="0.25">
      <c r="B41" s="2" t="s">
        <v>27</v>
      </c>
      <c r="C41" s="10">
        <v>1</v>
      </c>
      <c r="D41" s="10">
        <v>0.8</v>
      </c>
      <c r="E41" s="10">
        <f t="shared" si="2"/>
        <v>0.8</v>
      </c>
      <c r="F41" s="1"/>
      <c r="G41" s="2">
        <v>575</v>
      </c>
      <c r="H41" s="10">
        <v>0.7</v>
      </c>
      <c r="I41" s="1"/>
      <c r="J41" s="1"/>
      <c r="K41" s="1"/>
      <c r="L41" s="1"/>
      <c r="M41" s="1"/>
      <c r="N41" s="1"/>
      <c r="O41" s="1"/>
      <c r="P41" s="1"/>
    </row>
    <row r="42" spans="2:16" x14ac:dyDescent="0.25">
      <c r="B42" s="2" t="s">
        <v>29</v>
      </c>
      <c r="C42" s="10">
        <v>1</v>
      </c>
      <c r="D42" s="10">
        <v>0.7</v>
      </c>
      <c r="E42" s="10">
        <f t="shared" si="2"/>
        <v>0.7</v>
      </c>
      <c r="F42" s="1"/>
      <c r="G42" s="2">
        <v>1000</v>
      </c>
      <c r="H42" s="10">
        <v>0.4</v>
      </c>
      <c r="I42" s="1"/>
      <c r="J42" s="1"/>
      <c r="K42" s="1"/>
      <c r="L42" s="1"/>
      <c r="M42" s="1"/>
      <c r="N42" s="1"/>
      <c r="O42" s="1"/>
      <c r="P42" s="1"/>
    </row>
    <row r="43" spans="2:16" x14ac:dyDescent="0.25">
      <c r="B43" s="2" t="s">
        <v>28</v>
      </c>
      <c r="C43" s="10">
        <v>1</v>
      </c>
      <c r="D43" s="10">
        <v>0.42</v>
      </c>
      <c r="E43" s="10">
        <f t="shared" si="2"/>
        <v>0.42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2:16" x14ac:dyDescent="0.25">
      <c r="B44" s="5"/>
      <c r="C44" s="5"/>
      <c r="D44" s="5"/>
      <c r="E44" s="5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2:16" x14ac:dyDescent="0.25">
      <c r="B45" s="5"/>
      <c r="C45" s="5"/>
      <c r="D45" s="5"/>
      <c r="E45" s="5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2:16" x14ac:dyDescent="0.25">
      <c r="B46" s="5"/>
      <c r="C46" s="5"/>
      <c r="D46" s="5"/>
      <c r="E46" s="5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2:16" x14ac:dyDescent="0.2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2:16" x14ac:dyDescent="0.2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ht="15.75" x14ac:dyDescent="0.25">
      <c r="B49" s="20" t="s">
        <v>35</v>
      </c>
      <c r="C49" s="20"/>
      <c r="D49" s="20"/>
      <c r="E49" s="20"/>
      <c r="F49" s="20"/>
      <c r="G49" s="20"/>
      <c r="H49" s="20"/>
      <c r="I49" s="20"/>
      <c r="J49" s="20"/>
      <c r="K49" s="1"/>
      <c r="L49" s="1"/>
      <c r="M49" s="1"/>
      <c r="N49" s="1"/>
      <c r="O49" s="1"/>
      <c r="P49" s="1"/>
    </row>
    <row r="50" spans="1:16" ht="15.75" x14ac:dyDescent="0.25">
      <c r="B50" s="15" t="s">
        <v>0</v>
      </c>
      <c r="C50" s="15" t="s">
        <v>1</v>
      </c>
      <c r="D50" s="15" t="s">
        <v>34</v>
      </c>
      <c r="E50" s="15" t="s">
        <v>32</v>
      </c>
      <c r="F50" s="14" t="s">
        <v>33</v>
      </c>
      <c r="G50" s="14" t="s">
        <v>36</v>
      </c>
      <c r="H50" s="15" t="s">
        <v>9</v>
      </c>
      <c r="I50" s="14" t="s">
        <v>11</v>
      </c>
      <c r="J50" s="8" t="s">
        <v>12</v>
      </c>
      <c r="K50" s="1"/>
      <c r="L50" s="1"/>
      <c r="M50" s="1"/>
      <c r="N50" s="1"/>
      <c r="O50" s="1"/>
      <c r="P50" s="1"/>
    </row>
    <row r="51" spans="1:16" ht="15.75" x14ac:dyDescent="0.25">
      <c r="B51" s="14">
        <v>0</v>
      </c>
      <c r="C51" s="14">
        <v>1</v>
      </c>
      <c r="D51" s="14">
        <v>1</v>
      </c>
      <c r="E51" s="14">
        <v>1</v>
      </c>
      <c r="F51" s="14">
        <v>1</v>
      </c>
      <c r="G51" s="14">
        <v>0.1</v>
      </c>
      <c r="H51" s="14">
        <f>(C51-B51)*(1+((2*D51)/G51))*(F51/E51)</f>
        <v>21</v>
      </c>
      <c r="I51" s="17">
        <v>13.61</v>
      </c>
      <c r="J51" s="4">
        <f>I51/(C51-B51)</f>
        <v>13.61</v>
      </c>
      <c r="K51" s="1"/>
      <c r="L51" s="1"/>
      <c r="M51" s="1"/>
      <c r="N51" s="1"/>
      <c r="O51" s="1"/>
      <c r="P51" s="1"/>
    </row>
    <row r="52" spans="1:16" ht="15.75" x14ac:dyDescent="0.25">
      <c r="B52" s="14">
        <v>0</v>
      </c>
      <c r="C52" s="14">
        <v>1</v>
      </c>
      <c r="D52" s="14">
        <v>1</v>
      </c>
      <c r="E52" s="14">
        <v>1</v>
      </c>
      <c r="F52" s="14">
        <v>1</v>
      </c>
      <c r="G52" s="14">
        <v>0.25</v>
      </c>
      <c r="H52" s="14">
        <f t="shared" ref="H52:H55" si="3">(C52-B52)*(1+((2*D52)/G52))*(F52/E52)</f>
        <v>9</v>
      </c>
      <c r="I52" s="14">
        <v>9.66</v>
      </c>
      <c r="J52" s="4">
        <f t="shared" ref="J52:J55" si="4">I52/(C52-B52)</f>
        <v>9.66</v>
      </c>
      <c r="K52" s="1"/>
      <c r="L52" s="1"/>
      <c r="M52" s="1"/>
      <c r="N52" s="1"/>
      <c r="O52" s="1"/>
      <c r="P52" s="1"/>
    </row>
    <row r="53" spans="1:16" ht="15.75" x14ac:dyDescent="0.25">
      <c r="B53" s="14">
        <v>0</v>
      </c>
      <c r="C53" s="14">
        <v>1</v>
      </c>
      <c r="D53" s="14">
        <v>1</v>
      </c>
      <c r="E53" s="14">
        <v>1</v>
      </c>
      <c r="F53" s="14">
        <v>1</v>
      </c>
      <c r="G53" s="14">
        <v>0.5</v>
      </c>
      <c r="H53" s="14">
        <f t="shared" si="3"/>
        <v>5</v>
      </c>
      <c r="I53" s="14">
        <v>5.35</v>
      </c>
      <c r="J53" s="4">
        <f t="shared" si="4"/>
        <v>5.35</v>
      </c>
      <c r="K53" s="1"/>
      <c r="L53" s="1"/>
      <c r="M53" s="1"/>
      <c r="N53" s="1"/>
      <c r="O53" s="1"/>
      <c r="P53" s="1"/>
    </row>
    <row r="54" spans="1:16" ht="15.75" x14ac:dyDescent="0.25">
      <c r="B54" s="14">
        <v>0</v>
      </c>
      <c r="C54" s="14">
        <v>1</v>
      </c>
      <c r="D54" s="14">
        <v>1</v>
      </c>
      <c r="E54" s="14">
        <v>1</v>
      </c>
      <c r="F54" s="14">
        <v>1</v>
      </c>
      <c r="G54" s="14">
        <v>0.75</v>
      </c>
      <c r="H54" s="14">
        <f t="shared" si="3"/>
        <v>3.6666666666666665</v>
      </c>
      <c r="I54" s="18">
        <v>3.72</v>
      </c>
      <c r="J54" s="4">
        <f t="shared" si="4"/>
        <v>3.72</v>
      </c>
      <c r="K54" s="1"/>
      <c r="L54" s="1"/>
      <c r="M54" s="1"/>
      <c r="N54" s="1"/>
      <c r="O54" s="1"/>
      <c r="P54" s="1"/>
    </row>
    <row r="55" spans="1:16" ht="15.75" x14ac:dyDescent="0.25">
      <c r="B55" s="14">
        <v>0</v>
      </c>
      <c r="C55" s="14">
        <v>1</v>
      </c>
      <c r="D55" s="14">
        <v>1</v>
      </c>
      <c r="E55" s="14">
        <v>1</v>
      </c>
      <c r="F55" s="14">
        <v>1</v>
      </c>
      <c r="G55" s="14">
        <v>1</v>
      </c>
      <c r="H55" s="14">
        <f t="shared" si="3"/>
        <v>3</v>
      </c>
      <c r="I55" s="14">
        <v>3</v>
      </c>
      <c r="J55" s="4">
        <f t="shared" si="4"/>
        <v>3</v>
      </c>
      <c r="K55" s="1"/>
      <c r="L55" s="1"/>
      <c r="M55" s="1"/>
      <c r="N55" s="1"/>
      <c r="O55" s="1"/>
      <c r="P55" s="1"/>
    </row>
    <row r="56" spans="1:16" ht="15.75" x14ac:dyDescent="0.25">
      <c r="A56" s="6"/>
      <c r="B56" s="16"/>
      <c r="C56" s="16"/>
      <c r="D56" s="16"/>
      <c r="E56" s="16"/>
      <c r="F56" s="16"/>
      <c r="G56" s="16"/>
      <c r="H56" s="16"/>
      <c r="I56" s="16"/>
      <c r="J56" s="5"/>
      <c r="K56" s="1"/>
      <c r="L56" s="1"/>
      <c r="M56" s="1"/>
      <c r="N56" s="1"/>
      <c r="O56" s="1"/>
      <c r="P56" s="1"/>
    </row>
    <row r="57" spans="1:16" ht="15.75" x14ac:dyDescent="0.25">
      <c r="A57" s="6"/>
      <c r="D57" s="16"/>
      <c r="E57" s="16"/>
      <c r="F57" s="16"/>
      <c r="G57" s="16"/>
      <c r="H57" s="16"/>
      <c r="I57" s="16"/>
      <c r="J57" s="5"/>
      <c r="K57" s="1"/>
      <c r="L57" s="1"/>
      <c r="M57" s="1"/>
      <c r="N57" s="1"/>
      <c r="O57" s="1"/>
      <c r="P57" s="1"/>
    </row>
    <row r="58" spans="1:16" ht="15.75" x14ac:dyDescent="0.25">
      <c r="A58" s="6"/>
      <c r="D58" s="16"/>
      <c r="E58" s="16"/>
      <c r="F58" s="16"/>
      <c r="G58" s="16"/>
      <c r="H58" s="16"/>
      <c r="I58" s="16"/>
      <c r="J58" s="5"/>
      <c r="K58" s="1"/>
      <c r="L58" s="1"/>
      <c r="M58" s="1"/>
      <c r="N58" s="1"/>
      <c r="O58" s="1"/>
      <c r="P58" s="1"/>
    </row>
    <row r="59" spans="1:16" ht="15.75" x14ac:dyDescent="0.25">
      <c r="A59" s="6"/>
      <c r="D59" s="16"/>
      <c r="E59" s="16"/>
      <c r="F59" s="16"/>
      <c r="G59" s="16"/>
      <c r="H59" s="16"/>
      <c r="I59" s="16"/>
      <c r="J59" s="5"/>
      <c r="K59" s="1"/>
      <c r="L59" s="1"/>
      <c r="M59" s="1"/>
      <c r="N59" s="1"/>
      <c r="O59" s="1"/>
      <c r="P59" s="1"/>
    </row>
    <row r="60" spans="1:16" ht="15.75" x14ac:dyDescent="0.25">
      <c r="A60" s="6"/>
      <c r="D60" s="16"/>
      <c r="E60" s="16"/>
      <c r="F60" s="16"/>
      <c r="G60" s="16"/>
      <c r="H60" s="16"/>
      <c r="I60" s="16"/>
      <c r="J60" s="5"/>
      <c r="K60" s="1"/>
      <c r="L60" s="1"/>
      <c r="M60" s="1"/>
      <c r="N60" s="1"/>
      <c r="O60" s="1"/>
      <c r="P60" s="1"/>
    </row>
    <row r="61" spans="1:16" ht="15.75" x14ac:dyDescent="0.25">
      <c r="A61" s="6"/>
      <c r="D61" s="16"/>
      <c r="E61" s="16"/>
      <c r="F61" s="16"/>
      <c r="G61" s="16"/>
      <c r="H61" s="16"/>
      <c r="I61" s="16"/>
      <c r="J61" s="5"/>
      <c r="K61" s="1"/>
      <c r="L61" s="1"/>
      <c r="M61" s="1"/>
      <c r="N61" s="1"/>
      <c r="O61" s="1"/>
      <c r="P61" s="1"/>
    </row>
    <row r="62" spans="1:16" x14ac:dyDescent="0.25">
      <c r="A62" s="6"/>
      <c r="D62" s="5"/>
      <c r="E62" s="5"/>
      <c r="F62" s="5"/>
      <c r="G62" s="5"/>
      <c r="H62" s="5"/>
      <c r="I62" s="5"/>
      <c r="J62" s="9"/>
      <c r="K62" s="1"/>
      <c r="L62" s="1"/>
      <c r="M62" s="1"/>
      <c r="N62" s="1"/>
      <c r="O62" s="1"/>
      <c r="P62" s="1"/>
    </row>
    <row r="63" spans="1:16" x14ac:dyDescent="0.25">
      <c r="A63" s="6"/>
      <c r="B63" s="5"/>
      <c r="C63" s="5"/>
      <c r="D63" s="5"/>
      <c r="E63" s="5"/>
      <c r="F63" s="5"/>
      <c r="G63" s="5"/>
      <c r="H63" s="5"/>
      <c r="I63" s="5"/>
      <c r="J63" s="5"/>
      <c r="K63" s="1"/>
      <c r="L63" s="1"/>
      <c r="M63" s="1"/>
      <c r="N63" s="1"/>
      <c r="O63" s="1"/>
      <c r="P63" s="1"/>
    </row>
    <row r="64" spans="1:16" ht="15.75" x14ac:dyDescent="0.25">
      <c r="B64" s="14" t="s">
        <v>36</v>
      </c>
      <c r="C64" s="8" t="s">
        <v>12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2:16" ht="15.75" x14ac:dyDescent="0.25">
      <c r="B65" s="14">
        <v>0.1</v>
      </c>
      <c r="C65" s="4">
        <v>13.61</v>
      </c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2:16" ht="15.75" x14ac:dyDescent="0.25">
      <c r="B66" s="14">
        <v>0.25</v>
      </c>
      <c r="C66" s="4">
        <v>9.66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2:16" ht="15.75" x14ac:dyDescent="0.25">
      <c r="B67" s="14">
        <v>0.5</v>
      </c>
      <c r="C67" s="4">
        <v>5.35</v>
      </c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2:16" ht="15.75" x14ac:dyDescent="0.25">
      <c r="B68" s="14">
        <v>0.75</v>
      </c>
      <c r="C68" s="4">
        <v>3.72</v>
      </c>
    </row>
    <row r="69" spans="2:16" ht="15.75" x14ac:dyDescent="0.25">
      <c r="B69" s="14">
        <v>0.95899999999999996</v>
      </c>
      <c r="C69" s="4">
        <v>3</v>
      </c>
    </row>
  </sheetData>
  <mergeCells count="7">
    <mergeCell ref="B36:E36"/>
    <mergeCell ref="B49:J49"/>
    <mergeCell ref="B2:F2"/>
    <mergeCell ref="B13:H13"/>
    <mergeCell ref="B8:F8"/>
    <mergeCell ref="B20:J20"/>
    <mergeCell ref="B32:C32"/>
  </mergeCells>
  <pageMargins left="0.7" right="0.7" top="0.75" bottom="0.75" header="0.3" footer="0.3"/>
  <pageSetup paperSize="9" orientation="portrait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</dc:creator>
  <cp:lastModifiedBy>L</cp:lastModifiedBy>
  <dcterms:created xsi:type="dcterms:W3CDTF">2013-03-30T02:31:25Z</dcterms:created>
  <dcterms:modified xsi:type="dcterms:W3CDTF">2013-12-25T04:17:43Z</dcterms:modified>
</cp:coreProperties>
</file>