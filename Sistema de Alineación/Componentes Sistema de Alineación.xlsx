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D88" i="1" l="1"/>
  <c r="D87" i="1"/>
  <c r="D86" i="1"/>
  <c r="D85" i="1"/>
  <c r="D84" i="1"/>
  <c r="D83" i="1"/>
  <c r="D82" i="1"/>
  <c r="D81" i="1"/>
  <c r="D80" i="1"/>
  <c r="D79" i="1"/>
  <c r="D78" i="1"/>
  <c r="D77" i="1"/>
  <c r="D89" i="1" l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42" i="1"/>
  <c r="D41" i="1"/>
  <c r="D40" i="1"/>
  <c r="D39" i="1"/>
  <c r="D38" i="1"/>
  <c r="D37" i="1"/>
  <c r="D36" i="1"/>
  <c r="D43" i="1" s="1"/>
  <c r="D71" i="1" l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4" i="1"/>
  <c r="D5" i="1"/>
  <c r="D6" i="1"/>
  <c r="D7" i="1"/>
  <c r="D8" i="1"/>
  <c r="D9" i="1"/>
  <c r="D10" i="1"/>
  <c r="D11" i="1"/>
  <c r="D3" i="1"/>
  <c r="D29" i="1" l="1"/>
</calcChain>
</file>

<file path=xl/sharedStrings.xml><?xml version="1.0" encoding="utf-8"?>
<sst xmlns="http://schemas.openxmlformats.org/spreadsheetml/2006/main" count="159" uniqueCount="64">
  <si>
    <t>Artículo</t>
  </si>
  <si>
    <t xml:space="preserve">Cantidad </t>
  </si>
  <si>
    <t>Ubicación</t>
  </si>
  <si>
    <t>Regulador de Voltaje 5V 7805</t>
  </si>
  <si>
    <t>Precio por unidad (Bsf)</t>
  </si>
  <si>
    <t>Total (Bsf)</t>
  </si>
  <si>
    <t>http://www.electronica.com.ve//ventas/catalog/product_info.php?products_id=83</t>
  </si>
  <si>
    <t>Regulador de Voltaje 3.3V - 78M33C</t>
  </si>
  <si>
    <t>Switch</t>
  </si>
  <si>
    <t>LCD 16x2</t>
  </si>
  <si>
    <t>Módulo Xbee 1mW</t>
  </si>
  <si>
    <t>Xbee Explorer Regulated</t>
  </si>
  <si>
    <t>Potenciometro 10KΩ</t>
  </si>
  <si>
    <t>ATMEGA328 con Bootloader</t>
  </si>
  <si>
    <t>http://www.electronicamagnabit.com/tienda/arduino/520-arduino-atmega328-con-bootloader.html</t>
  </si>
  <si>
    <t>http://www.electronicamagnabit.com/tienda/potenciometros-trimmers/555-potenciometro-10k.html</t>
  </si>
  <si>
    <t>http://www.electronicamagnabit.com/tienda/kits-rf/469-xbee-explorer-regulated.html</t>
  </si>
  <si>
    <t>http://www.electronicamagnabit.com/tienda/modulos/459-modulo-xbee-1mw-con-antena-chip-2-4ghz.html</t>
  </si>
  <si>
    <t>http://www.electronicamagnabit.com/tienda/display-lcd/27-lcd-16x2-con-backlight.html</t>
  </si>
  <si>
    <t>http://www.electronicamagnabit.com/tienda/switch-pulsadores/1401-pulsador-para-empotrar-3a.html</t>
  </si>
  <si>
    <t>http://www.electronicamagnabit.com/tienda/switch-pulsadores/125-switch-2-posiciones-2-pines.html</t>
  </si>
  <si>
    <t>http://www.electronicamagnabit.com/tienda/reguladores/176-regulador-de-voltaje-33v-78m33c.html</t>
  </si>
  <si>
    <t xml:space="preserve">Pulsador Grande </t>
  </si>
  <si>
    <t>Pulsador para PCB 6x6mm</t>
  </si>
  <si>
    <t>http://www.electronicamagnabit.com/tienda/switch-pulsadores/670-pulsador-para-pcb.html</t>
  </si>
  <si>
    <t>http://www.electronicamagnabit.com/tienda/resistencias/961-pack-10-resistencias-1k-1-8watts.html</t>
  </si>
  <si>
    <t>http://www.electronicamagnabit.com/tienda/leds/82-led-3mm-rojo-standard.html</t>
  </si>
  <si>
    <t>Leds Multicolores 3mm</t>
  </si>
  <si>
    <t>Cristal 16MHz</t>
  </si>
  <si>
    <t>http://www.electronicamagnabit.com/tienda/cristales/180-cristal-16mhz.html</t>
  </si>
  <si>
    <t>Condensador Ceramico 22pF/50V</t>
  </si>
  <si>
    <t>http://www.electronicamagnabit.com/tienda/ceramicos/356-condensador-ceramico-22pf-50v.html</t>
  </si>
  <si>
    <t>Condensador Ceramico 4,7nF</t>
  </si>
  <si>
    <t>http://www.electronicamagnabit.com/tienda/ceramicos/1165-condensador-ceramico-47nf-50v.html</t>
  </si>
  <si>
    <t>Conector Header Hembra 8 pines</t>
  </si>
  <si>
    <t>http://www.electronicamagnabit.com/tienda/conectores-adaptadores/444-conector-header-hembra-8-pines.html</t>
  </si>
  <si>
    <t>Baquelita Perforada 14x11 cms</t>
  </si>
  <si>
    <t>http://www.electronicamagnabit.com/tienda/pcb/697-lamina-baquelita-perforada-14x11-cms.html</t>
  </si>
  <si>
    <t>Sensor Ultrasonico 40 kHz (EL PAR)</t>
  </si>
  <si>
    <t>http://www.electronicamagnabit.com/tienda/sensores/348-sensor-ultrasonico-40-khz.html</t>
  </si>
  <si>
    <t>http://www.electronicamagnabit.com/tienda/circuitos-integrados/202-lm-555-timer.html</t>
  </si>
  <si>
    <t>LM555 Timer</t>
  </si>
  <si>
    <t>http://www.electronicamagnabit.com/tienda/ttl-cmos/1173-74ls14-inversor-schmitt-trigger.html</t>
  </si>
  <si>
    <t>74LS14 Inversor Schmitt trigger</t>
  </si>
  <si>
    <t>http://www.electronicamagnabit.com/tienda/circuitos-integrados/373-max232.html</t>
  </si>
  <si>
    <t>MAX232</t>
  </si>
  <si>
    <t xml:space="preserve">Condensador Ceramico 0,1uF/50V </t>
  </si>
  <si>
    <t>http://www.electronicamagnabit.com/tienda/ceramicos/760-condensador-ceramico-01uf-50v-multicapa.html</t>
  </si>
  <si>
    <t>Sistema de Alineación</t>
  </si>
  <si>
    <t>Condensador Ceramico 0,01uF/50V</t>
  </si>
  <si>
    <t>http://www.electronicamagnabit.com/tienda/ceramicos/728-condensador-ceramico-001uf-50v.html</t>
  </si>
  <si>
    <t>Resistencia 1KΩ (paquete de 10)</t>
  </si>
  <si>
    <t>Resistencia 10KΩ (paquete de 10)</t>
  </si>
  <si>
    <t>Resistencia 100Ω (paquete de 10)</t>
  </si>
  <si>
    <t>http://www.electronica.com.ve//ventas/catalog/product_info.php?products_id=2691</t>
  </si>
  <si>
    <t>Acelerometro Triple Axis ADXL335</t>
  </si>
  <si>
    <t xml:space="preserve">Cosas que tenemos </t>
  </si>
  <si>
    <t>Cosas que necesitamos</t>
  </si>
  <si>
    <t>Compras con 300</t>
  </si>
  <si>
    <t>Transistor NPN 2n3904</t>
  </si>
  <si>
    <t xml:space="preserve">Total </t>
  </si>
  <si>
    <t>http://www.electronicamagnabit.com/tienda/transistores/23-transistor-npn-2n3904.html</t>
  </si>
  <si>
    <t>TL082 Amplificador Operacional Dual</t>
  </si>
  <si>
    <t>http://www.electronicamagnabit.com/tienda/circuitos-integrados/199-tl082-amplificador-operacional.html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</si>
</sst>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2" borderId="1" xfId="0" applyFont="1" applyFill="1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"/>
  <sheetViews>
    <sheetView tabSelected="1" topLeftCell="B73" workbookViewId="0">
      <selection activeCell="E88" sqref="E88"/>
    </sheetView>
  </sheetViews>
  <sheetFormatPr baseColWidth="10" defaultRowHeight="15" x14ac:dyDescent="0.25"/>
  <cols>
    <col min="1" max="1" width="42.28515625" customWidth="1"/>
    <col min="2" max="2" width="11.7109375" customWidth="1"/>
    <col min="3" max="3" width="10.7109375" customWidth="1"/>
    <col min="4" max="4" width="7.5703125" customWidth="1"/>
    <col min="5" max="5" width="116.7109375" customWidth="1"/>
  </cols>
  <sheetData>
    <row r="1" spans="1:5" ht="15.75" x14ac:dyDescent="0.25">
      <c r="A1" s="18" t="s">
        <v>48</v>
      </c>
      <c r="B1" s="18"/>
      <c r="C1" s="18"/>
      <c r="D1" s="18"/>
      <c r="E1" s="18"/>
    </row>
    <row r="2" spans="1:5" ht="45" x14ac:dyDescent="0.25">
      <c r="A2" s="5" t="s">
        <v>0</v>
      </c>
      <c r="B2" s="6" t="s">
        <v>4</v>
      </c>
      <c r="C2" s="5" t="s">
        <v>1</v>
      </c>
      <c r="D2" s="6" t="s">
        <v>5</v>
      </c>
      <c r="E2" s="5" t="s">
        <v>2</v>
      </c>
    </row>
    <row r="3" spans="1:5" ht="15.75" x14ac:dyDescent="0.25">
      <c r="A3" s="9" t="s">
        <v>3</v>
      </c>
      <c r="B3" s="7">
        <v>10</v>
      </c>
      <c r="C3" s="7">
        <v>6</v>
      </c>
      <c r="D3" s="7">
        <f>C3*B3</f>
        <v>60</v>
      </c>
      <c r="E3" s="7" t="s">
        <v>6</v>
      </c>
    </row>
    <row r="4" spans="1:5" ht="15.75" x14ac:dyDescent="0.25">
      <c r="A4" s="8" t="s">
        <v>7</v>
      </c>
      <c r="B4" s="7">
        <v>24</v>
      </c>
      <c r="C4" s="7">
        <v>5</v>
      </c>
      <c r="D4" s="7">
        <f t="shared" ref="D4:D28" si="0">C4*B4</f>
        <v>120</v>
      </c>
      <c r="E4" s="7" t="s">
        <v>21</v>
      </c>
    </row>
    <row r="5" spans="1:5" ht="15.75" x14ac:dyDescent="0.25">
      <c r="A5" s="9" t="s">
        <v>8</v>
      </c>
      <c r="B5" s="7">
        <v>8.5</v>
      </c>
      <c r="C5" s="7">
        <v>2</v>
      </c>
      <c r="D5" s="7">
        <f t="shared" si="0"/>
        <v>17</v>
      </c>
      <c r="E5" s="7" t="s">
        <v>20</v>
      </c>
    </row>
    <row r="6" spans="1:5" ht="15.75" x14ac:dyDescent="0.25">
      <c r="A6" s="9" t="s">
        <v>22</v>
      </c>
      <c r="B6" s="7">
        <v>20</v>
      </c>
      <c r="C6" s="7">
        <v>4</v>
      </c>
      <c r="D6" s="7">
        <f t="shared" si="0"/>
        <v>80</v>
      </c>
      <c r="E6" s="7" t="s">
        <v>19</v>
      </c>
    </row>
    <row r="7" spans="1:5" ht="15.75" x14ac:dyDescent="0.25">
      <c r="A7" s="12" t="s">
        <v>9</v>
      </c>
      <c r="B7" s="7">
        <v>175</v>
      </c>
      <c r="C7" s="7">
        <v>1</v>
      </c>
      <c r="D7" s="7">
        <f t="shared" si="0"/>
        <v>175</v>
      </c>
      <c r="E7" s="7" t="s">
        <v>18</v>
      </c>
    </row>
    <row r="8" spans="1:5" ht="15.75" x14ac:dyDescent="0.25">
      <c r="A8" s="10" t="s">
        <v>10</v>
      </c>
      <c r="B8" s="7">
        <v>770</v>
      </c>
      <c r="C8" s="7">
        <v>2</v>
      </c>
      <c r="D8" s="7">
        <f t="shared" si="0"/>
        <v>1540</v>
      </c>
      <c r="E8" s="7" t="s">
        <v>17</v>
      </c>
    </row>
    <row r="9" spans="1:5" ht="15.75" x14ac:dyDescent="0.25">
      <c r="A9" s="10" t="s">
        <v>11</v>
      </c>
      <c r="B9" s="7">
        <v>320</v>
      </c>
      <c r="C9" s="7">
        <v>2</v>
      </c>
      <c r="D9" s="7">
        <f t="shared" si="0"/>
        <v>640</v>
      </c>
      <c r="E9" s="7" t="s">
        <v>16</v>
      </c>
    </row>
    <row r="10" spans="1:5" ht="15.75" x14ac:dyDescent="0.25">
      <c r="A10" s="9" t="s">
        <v>12</v>
      </c>
      <c r="B10" s="7">
        <v>12</v>
      </c>
      <c r="C10" s="7">
        <v>1</v>
      </c>
      <c r="D10" s="7">
        <f t="shared" si="0"/>
        <v>12</v>
      </c>
      <c r="E10" s="7" t="s">
        <v>15</v>
      </c>
    </row>
    <row r="11" spans="1:5" ht="15.75" x14ac:dyDescent="0.25">
      <c r="A11" s="8" t="s">
        <v>13</v>
      </c>
      <c r="B11" s="7">
        <v>230</v>
      </c>
      <c r="C11" s="7">
        <v>6</v>
      </c>
      <c r="D11" s="7">
        <f t="shared" si="0"/>
        <v>1380</v>
      </c>
      <c r="E11" s="7" t="s">
        <v>14</v>
      </c>
    </row>
    <row r="12" spans="1:5" ht="15.75" x14ac:dyDescent="0.25">
      <c r="A12" s="8" t="s">
        <v>23</v>
      </c>
      <c r="B12" s="7">
        <v>4</v>
      </c>
      <c r="C12" s="7">
        <v>6</v>
      </c>
      <c r="D12" s="7">
        <f t="shared" si="0"/>
        <v>24</v>
      </c>
      <c r="E12" s="7" t="s">
        <v>24</v>
      </c>
    </row>
    <row r="13" spans="1:5" ht="15.75" x14ac:dyDescent="0.25">
      <c r="A13" s="7" t="s">
        <v>51</v>
      </c>
      <c r="B13" s="7">
        <v>0.4</v>
      </c>
      <c r="C13" s="7">
        <v>80</v>
      </c>
      <c r="D13" s="7">
        <f t="shared" si="0"/>
        <v>32</v>
      </c>
      <c r="E13" s="7" t="s">
        <v>25</v>
      </c>
    </row>
    <row r="14" spans="1:5" ht="15.75" x14ac:dyDescent="0.25">
      <c r="A14" s="7" t="s">
        <v>52</v>
      </c>
      <c r="B14" s="7">
        <v>0.4</v>
      </c>
      <c r="C14" s="7">
        <v>41</v>
      </c>
      <c r="D14" s="7">
        <f t="shared" si="0"/>
        <v>16.400000000000002</v>
      </c>
      <c r="E14" s="7" t="s">
        <v>25</v>
      </c>
    </row>
    <row r="15" spans="1:5" ht="15.75" x14ac:dyDescent="0.25">
      <c r="A15" s="7" t="s">
        <v>53</v>
      </c>
      <c r="B15" s="7">
        <v>0.4</v>
      </c>
      <c r="C15" s="7">
        <v>5</v>
      </c>
      <c r="D15" s="7">
        <f t="shared" si="0"/>
        <v>2</v>
      </c>
      <c r="E15" s="7" t="s">
        <v>25</v>
      </c>
    </row>
    <row r="16" spans="1:5" ht="15.75" x14ac:dyDescent="0.25">
      <c r="A16" s="7" t="s">
        <v>27</v>
      </c>
      <c r="B16" s="7">
        <v>1</v>
      </c>
      <c r="C16" s="7">
        <v>25</v>
      </c>
      <c r="D16" s="7">
        <f t="shared" si="0"/>
        <v>25</v>
      </c>
      <c r="E16" s="7" t="s">
        <v>26</v>
      </c>
    </row>
    <row r="17" spans="1:5" ht="15.75" x14ac:dyDescent="0.25">
      <c r="A17" s="7" t="s">
        <v>28</v>
      </c>
      <c r="B17" s="7">
        <v>9</v>
      </c>
      <c r="C17" s="7">
        <v>6</v>
      </c>
      <c r="D17" s="7">
        <f t="shared" si="0"/>
        <v>54</v>
      </c>
      <c r="E17" s="7" t="s">
        <v>29</v>
      </c>
    </row>
    <row r="18" spans="1:5" ht="15.75" x14ac:dyDescent="0.25">
      <c r="A18" s="7" t="s">
        <v>30</v>
      </c>
      <c r="B18" s="7">
        <v>2</v>
      </c>
      <c r="C18" s="7">
        <v>6</v>
      </c>
      <c r="D18" s="7">
        <f t="shared" si="0"/>
        <v>12</v>
      </c>
      <c r="E18" s="7" t="s">
        <v>31</v>
      </c>
    </row>
    <row r="19" spans="1:5" ht="15.75" x14ac:dyDescent="0.25">
      <c r="A19" s="7" t="s">
        <v>32</v>
      </c>
      <c r="B19" s="7">
        <v>2</v>
      </c>
      <c r="C19" s="7">
        <v>6</v>
      </c>
      <c r="D19" s="7">
        <f t="shared" si="0"/>
        <v>12</v>
      </c>
      <c r="E19" s="7" t="s">
        <v>33</v>
      </c>
    </row>
    <row r="20" spans="1:5" ht="15.75" x14ac:dyDescent="0.25">
      <c r="A20" s="7" t="s">
        <v>34</v>
      </c>
      <c r="B20" s="7">
        <v>9</v>
      </c>
      <c r="C20" s="7">
        <v>6</v>
      </c>
      <c r="D20" s="7">
        <f t="shared" si="0"/>
        <v>54</v>
      </c>
      <c r="E20" s="7" t="s">
        <v>35</v>
      </c>
    </row>
    <row r="21" spans="1:5" ht="15.75" x14ac:dyDescent="0.25">
      <c r="A21" s="8" t="s">
        <v>36</v>
      </c>
      <c r="B21" s="7">
        <v>65</v>
      </c>
      <c r="C21" s="7">
        <v>7</v>
      </c>
      <c r="D21" s="7">
        <f t="shared" si="0"/>
        <v>455</v>
      </c>
      <c r="E21" s="7" t="s">
        <v>37</v>
      </c>
    </row>
    <row r="22" spans="1:5" ht="15.75" x14ac:dyDescent="0.25">
      <c r="A22" s="11" t="s">
        <v>38</v>
      </c>
      <c r="B22" s="7">
        <v>170</v>
      </c>
      <c r="C22" s="7">
        <v>8</v>
      </c>
      <c r="D22" s="7">
        <f t="shared" si="0"/>
        <v>1360</v>
      </c>
      <c r="E22" s="7" t="s">
        <v>39</v>
      </c>
    </row>
    <row r="23" spans="1:5" ht="15.75" x14ac:dyDescent="0.25">
      <c r="A23" s="8" t="s">
        <v>41</v>
      </c>
      <c r="B23" s="7">
        <v>9</v>
      </c>
      <c r="C23" s="7">
        <v>8</v>
      </c>
      <c r="D23" s="7">
        <f t="shared" si="0"/>
        <v>72</v>
      </c>
      <c r="E23" s="7" t="s">
        <v>40</v>
      </c>
    </row>
    <row r="24" spans="1:5" ht="15.75" x14ac:dyDescent="0.25">
      <c r="A24" s="8" t="s">
        <v>43</v>
      </c>
      <c r="B24" s="7">
        <v>20</v>
      </c>
      <c r="C24" s="7">
        <v>8</v>
      </c>
      <c r="D24" s="7">
        <f t="shared" si="0"/>
        <v>160</v>
      </c>
      <c r="E24" s="7" t="s">
        <v>42</v>
      </c>
    </row>
    <row r="25" spans="1:5" ht="15.75" x14ac:dyDescent="0.25">
      <c r="A25" s="8" t="s">
        <v>45</v>
      </c>
      <c r="B25" s="7">
        <v>20</v>
      </c>
      <c r="C25" s="7">
        <v>8</v>
      </c>
      <c r="D25" s="7">
        <f t="shared" si="0"/>
        <v>160</v>
      </c>
      <c r="E25" s="7" t="s">
        <v>44</v>
      </c>
    </row>
    <row r="26" spans="1:5" ht="15.75" x14ac:dyDescent="0.25">
      <c r="A26" s="8" t="s">
        <v>46</v>
      </c>
      <c r="B26" s="7">
        <v>3</v>
      </c>
      <c r="C26" s="7">
        <v>16</v>
      </c>
      <c r="D26" s="7">
        <f t="shared" si="0"/>
        <v>48</v>
      </c>
      <c r="E26" s="7" t="s">
        <v>47</v>
      </c>
    </row>
    <row r="27" spans="1:5" ht="15.75" x14ac:dyDescent="0.25">
      <c r="A27" s="8" t="s">
        <v>49</v>
      </c>
      <c r="B27" s="7">
        <v>2</v>
      </c>
      <c r="C27" s="7">
        <v>8</v>
      </c>
      <c r="D27" s="7">
        <f t="shared" si="0"/>
        <v>16</v>
      </c>
      <c r="E27" s="7" t="s">
        <v>50</v>
      </c>
    </row>
    <row r="28" spans="1:5" ht="15.75" x14ac:dyDescent="0.25">
      <c r="A28" s="11" t="s">
        <v>55</v>
      </c>
      <c r="B28" s="7">
        <v>950</v>
      </c>
      <c r="C28" s="7">
        <v>4</v>
      </c>
      <c r="D28" s="7">
        <f t="shared" si="0"/>
        <v>3800</v>
      </c>
      <c r="E28" s="7" t="s">
        <v>54</v>
      </c>
    </row>
    <row r="29" spans="1:5" ht="30" x14ac:dyDescent="0.25">
      <c r="A29" s="1"/>
      <c r="B29" s="1"/>
      <c r="C29" s="6" t="s">
        <v>5</v>
      </c>
      <c r="D29" s="5">
        <f>SUM(D3:D28)</f>
        <v>10326.4</v>
      </c>
      <c r="E29" s="1"/>
    </row>
    <row r="30" spans="1:5" ht="81" customHeight="1" x14ac:dyDescent="0.25">
      <c r="A30" s="1"/>
      <c r="B30" s="4"/>
      <c r="C30" s="3"/>
      <c r="D30" s="2"/>
      <c r="E30" s="1"/>
    </row>
    <row r="31" spans="1:5" ht="15.75" x14ac:dyDescent="0.25">
      <c r="A31" s="1"/>
      <c r="B31" s="1"/>
      <c r="C31" s="1"/>
      <c r="D31" s="1"/>
      <c r="E31" s="1"/>
    </row>
    <row r="32" spans="1:5" x14ac:dyDescent="0.25">
      <c r="A32" t="s">
        <v>56</v>
      </c>
    </row>
    <row r="34" spans="1:5" ht="15.75" x14ac:dyDescent="0.25">
      <c r="A34" s="18" t="s">
        <v>48</v>
      </c>
      <c r="B34" s="18"/>
      <c r="C34" s="18"/>
      <c r="D34" s="18"/>
      <c r="E34" s="18"/>
    </row>
    <row r="35" spans="1:5" ht="45" x14ac:dyDescent="0.25">
      <c r="A35" s="5" t="s">
        <v>0</v>
      </c>
      <c r="B35" s="6" t="s">
        <v>4</v>
      </c>
      <c r="C35" s="5" t="s">
        <v>1</v>
      </c>
      <c r="D35" s="6" t="s">
        <v>5</v>
      </c>
      <c r="E35" s="5" t="s">
        <v>2</v>
      </c>
    </row>
    <row r="36" spans="1:5" ht="15.75" x14ac:dyDescent="0.25">
      <c r="A36" s="13" t="s">
        <v>8</v>
      </c>
      <c r="B36" s="7">
        <v>8.5</v>
      </c>
      <c r="C36" s="7">
        <v>2</v>
      </c>
      <c r="D36" s="7">
        <f t="shared" ref="D36:D42" si="1">C36*B36</f>
        <v>17</v>
      </c>
      <c r="E36" s="7" t="s">
        <v>20</v>
      </c>
    </row>
    <row r="37" spans="1:5" ht="15.75" x14ac:dyDescent="0.25">
      <c r="A37" s="13" t="s">
        <v>22</v>
      </c>
      <c r="B37" s="7">
        <v>20</v>
      </c>
      <c r="C37" s="7">
        <v>4</v>
      </c>
      <c r="D37" s="7">
        <f t="shared" si="1"/>
        <v>80</v>
      </c>
      <c r="E37" s="7" t="s">
        <v>19</v>
      </c>
    </row>
    <row r="38" spans="1:5" ht="15.75" x14ac:dyDescent="0.25">
      <c r="A38" s="14" t="s">
        <v>9</v>
      </c>
      <c r="B38" s="7">
        <v>175</v>
      </c>
      <c r="C38" s="7">
        <v>1</v>
      </c>
      <c r="D38" s="7">
        <f t="shared" si="1"/>
        <v>175</v>
      </c>
      <c r="E38" s="7" t="s">
        <v>18</v>
      </c>
    </row>
    <row r="39" spans="1:5" ht="15.75" x14ac:dyDescent="0.25">
      <c r="A39" s="13" t="s">
        <v>10</v>
      </c>
      <c r="B39" s="7">
        <v>770</v>
      </c>
      <c r="C39" s="7">
        <v>2</v>
      </c>
      <c r="D39" s="7">
        <f t="shared" si="1"/>
        <v>1540</v>
      </c>
      <c r="E39" s="7" t="s">
        <v>17</v>
      </c>
    </row>
    <row r="40" spans="1:5" ht="15.75" x14ac:dyDescent="0.25">
      <c r="A40" s="13" t="s">
        <v>11</v>
      </c>
      <c r="B40" s="7">
        <v>320</v>
      </c>
      <c r="C40" s="7">
        <v>2</v>
      </c>
      <c r="D40" s="7">
        <f t="shared" si="1"/>
        <v>640</v>
      </c>
      <c r="E40" s="7" t="s">
        <v>16</v>
      </c>
    </row>
    <row r="41" spans="1:5" ht="15.75" x14ac:dyDescent="0.25">
      <c r="A41" s="15" t="s">
        <v>55</v>
      </c>
      <c r="B41" s="7">
        <v>950</v>
      </c>
      <c r="C41" s="7">
        <v>4</v>
      </c>
      <c r="D41" s="7">
        <f t="shared" si="1"/>
        <v>3800</v>
      </c>
      <c r="E41" s="7" t="s">
        <v>54</v>
      </c>
    </row>
    <row r="42" spans="1:5" ht="15.75" x14ac:dyDescent="0.25">
      <c r="A42" s="15" t="s">
        <v>38</v>
      </c>
      <c r="B42" s="7">
        <v>170</v>
      </c>
      <c r="C42" s="7">
        <v>2</v>
      </c>
      <c r="D42" s="7">
        <f t="shared" si="1"/>
        <v>340</v>
      </c>
      <c r="E42" s="7" t="s">
        <v>39</v>
      </c>
    </row>
    <row r="43" spans="1:5" ht="30" x14ac:dyDescent="0.25">
      <c r="C43" s="6" t="s">
        <v>5</v>
      </c>
      <c r="D43" s="16">
        <f>SUM(D36:D42)</f>
        <v>6592</v>
      </c>
    </row>
    <row r="48" spans="1:5" x14ac:dyDescent="0.25">
      <c r="A48" t="s">
        <v>57</v>
      </c>
    </row>
    <row r="50" spans="1:5" ht="15.75" x14ac:dyDescent="0.25">
      <c r="A50" s="18" t="s">
        <v>48</v>
      </c>
      <c r="B50" s="18"/>
      <c r="C50" s="18"/>
      <c r="D50" s="18"/>
      <c r="E50" s="18"/>
    </row>
    <row r="51" spans="1:5" ht="45" x14ac:dyDescent="0.25">
      <c r="A51" s="5" t="s">
        <v>0</v>
      </c>
      <c r="B51" s="6" t="s">
        <v>4</v>
      </c>
      <c r="C51" s="5" t="s">
        <v>1</v>
      </c>
      <c r="D51" s="6" t="s">
        <v>5</v>
      </c>
      <c r="E51" s="5" t="s">
        <v>2</v>
      </c>
    </row>
    <row r="52" spans="1:5" ht="15.75" x14ac:dyDescent="0.25">
      <c r="A52" s="13" t="s">
        <v>3</v>
      </c>
      <c r="B52" s="7">
        <v>10</v>
      </c>
      <c r="C52" s="7">
        <v>6</v>
      </c>
      <c r="D52" s="7">
        <f>C52*B52</f>
        <v>60</v>
      </c>
      <c r="E52" s="7" t="s">
        <v>6</v>
      </c>
    </row>
    <row r="53" spans="1:5" ht="15.75" x14ac:dyDescent="0.25">
      <c r="A53" s="8" t="s">
        <v>7</v>
      </c>
      <c r="B53" s="7">
        <v>24</v>
      </c>
      <c r="C53" s="7">
        <v>5</v>
      </c>
      <c r="D53" s="7">
        <f t="shared" ref="D53:D70" si="2">C53*B53</f>
        <v>120</v>
      </c>
      <c r="E53" s="7" t="s">
        <v>21</v>
      </c>
    </row>
    <row r="54" spans="1:5" ht="15.75" x14ac:dyDescent="0.25">
      <c r="A54" s="8" t="s">
        <v>13</v>
      </c>
      <c r="B54" s="7">
        <v>230</v>
      </c>
      <c r="C54" s="7">
        <v>6</v>
      </c>
      <c r="D54" s="7">
        <f t="shared" si="2"/>
        <v>1380</v>
      </c>
      <c r="E54" s="7" t="s">
        <v>14</v>
      </c>
    </row>
    <row r="55" spans="1:5" ht="15.75" x14ac:dyDescent="0.25">
      <c r="A55" s="8" t="s">
        <v>23</v>
      </c>
      <c r="B55" s="7">
        <v>4</v>
      </c>
      <c r="C55" s="7">
        <v>6</v>
      </c>
      <c r="D55" s="7">
        <f t="shared" si="2"/>
        <v>24</v>
      </c>
      <c r="E55" s="7" t="s">
        <v>24</v>
      </c>
    </row>
    <row r="56" spans="1:5" ht="15.75" x14ac:dyDescent="0.25">
      <c r="A56" s="7" t="s">
        <v>51</v>
      </c>
      <c r="B56" s="7">
        <v>0.4</v>
      </c>
      <c r="C56" s="7">
        <v>80</v>
      </c>
      <c r="D56" s="7">
        <f t="shared" si="2"/>
        <v>32</v>
      </c>
      <c r="E56" s="7" t="s">
        <v>25</v>
      </c>
    </row>
    <row r="57" spans="1:5" ht="15.75" x14ac:dyDescent="0.25">
      <c r="A57" s="7" t="s">
        <v>52</v>
      </c>
      <c r="B57" s="7">
        <v>0.4</v>
      </c>
      <c r="C57" s="7">
        <v>41</v>
      </c>
      <c r="D57" s="7">
        <f t="shared" si="2"/>
        <v>16.400000000000002</v>
      </c>
      <c r="E57" s="7" t="s">
        <v>25</v>
      </c>
    </row>
    <row r="58" spans="1:5" ht="15.75" x14ac:dyDescent="0.25">
      <c r="A58" s="7" t="s">
        <v>53</v>
      </c>
      <c r="B58" s="7">
        <v>0.4</v>
      </c>
      <c r="C58" s="7">
        <v>5</v>
      </c>
      <c r="D58" s="7">
        <f t="shared" si="2"/>
        <v>2</v>
      </c>
      <c r="E58" s="7" t="s">
        <v>25</v>
      </c>
    </row>
    <row r="59" spans="1:5" ht="15.75" x14ac:dyDescent="0.25">
      <c r="A59" s="7" t="s">
        <v>27</v>
      </c>
      <c r="B59" s="7">
        <v>1</v>
      </c>
      <c r="C59" s="7">
        <v>25</v>
      </c>
      <c r="D59" s="7">
        <f t="shared" si="2"/>
        <v>25</v>
      </c>
      <c r="E59" s="7" t="s">
        <v>26</v>
      </c>
    </row>
    <row r="60" spans="1:5" ht="15.75" x14ac:dyDescent="0.25">
      <c r="A60" s="7" t="s">
        <v>28</v>
      </c>
      <c r="B60" s="7">
        <v>9</v>
      </c>
      <c r="C60" s="7">
        <v>6</v>
      </c>
      <c r="D60" s="7">
        <f t="shared" si="2"/>
        <v>54</v>
      </c>
      <c r="E60" s="7" t="s">
        <v>29</v>
      </c>
    </row>
    <row r="61" spans="1:5" ht="15.75" x14ac:dyDescent="0.25">
      <c r="A61" s="7" t="s">
        <v>30</v>
      </c>
      <c r="B61" s="7">
        <v>2</v>
      </c>
      <c r="C61" s="7">
        <v>6</v>
      </c>
      <c r="D61" s="7">
        <f t="shared" si="2"/>
        <v>12</v>
      </c>
      <c r="E61" s="7" t="s">
        <v>31</v>
      </c>
    </row>
    <row r="62" spans="1:5" ht="15.75" x14ac:dyDescent="0.25">
      <c r="A62" s="7" t="s">
        <v>32</v>
      </c>
      <c r="B62" s="7">
        <v>2</v>
      </c>
      <c r="C62" s="7">
        <v>6</v>
      </c>
      <c r="D62" s="7">
        <f t="shared" si="2"/>
        <v>12</v>
      </c>
      <c r="E62" s="7" t="s">
        <v>33</v>
      </c>
    </row>
    <row r="63" spans="1:5" ht="15.75" x14ac:dyDescent="0.25">
      <c r="A63" s="7" t="s">
        <v>34</v>
      </c>
      <c r="B63" s="7">
        <v>9</v>
      </c>
      <c r="C63" s="7">
        <v>6</v>
      </c>
      <c r="D63" s="7">
        <f t="shared" si="2"/>
        <v>54</v>
      </c>
      <c r="E63" s="7" t="s">
        <v>35</v>
      </c>
    </row>
    <row r="64" spans="1:5" ht="15.75" x14ac:dyDescent="0.25">
      <c r="A64" s="8" t="s">
        <v>36</v>
      </c>
      <c r="B64" s="7">
        <v>65</v>
      </c>
      <c r="C64" s="7">
        <v>7</v>
      </c>
      <c r="D64" s="7">
        <f t="shared" si="2"/>
        <v>455</v>
      </c>
      <c r="E64" s="7" t="s">
        <v>37</v>
      </c>
    </row>
    <row r="65" spans="1:5" ht="15.75" x14ac:dyDescent="0.25">
      <c r="A65" s="15" t="s">
        <v>38</v>
      </c>
      <c r="B65" s="7">
        <v>170</v>
      </c>
      <c r="C65" s="7">
        <v>6</v>
      </c>
      <c r="D65" s="7">
        <f t="shared" si="2"/>
        <v>1020</v>
      </c>
      <c r="E65" s="7" t="s">
        <v>39</v>
      </c>
    </row>
    <row r="66" spans="1:5" ht="15.75" x14ac:dyDescent="0.25">
      <c r="A66" s="8" t="s">
        <v>41</v>
      </c>
      <c r="B66" s="7">
        <v>9</v>
      </c>
      <c r="C66" s="7">
        <v>8</v>
      </c>
      <c r="D66" s="7">
        <f t="shared" si="2"/>
        <v>72</v>
      </c>
      <c r="E66" s="7" t="s">
        <v>40</v>
      </c>
    </row>
    <row r="67" spans="1:5" ht="15.75" x14ac:dyDescent="0.25">
      <c r="A67" s="8" t="s">
        <v>43</v>
      </c>
      <c r="B67" s="7">
        <v>20</v>
      </c>
      <c r="C67" s="7">
        <v>8</v>
      </c>
      <c r="D67" s="7">
        <f t="shared" si="2"/>
        <v>160</v>
      </c>
      <c r="E67" s="7" t="s">
        <v>42</v>
      </c>
    </row>
    <row r="68" spans="1:5" ht="15.75" x14ac:dyDescent="0.25">
      <c r="A68" s="8" t="s">
        <v>45</v>
      </c>
      <c r="B68" s="7">
        <v>20</v>
      </c>
      <c r="C68" s="7">
        <v>8</v>
      </c>
      <c r="D68" s="7">
        <f t="shared" si="2"/>
        <v>160</v>
      </c>
      <c r="E68" s="7" t="s">
        <v>44</v>
      </c>
    </row>
    <row r="69" spans="1:5" ht="15.75" x14ac:dyDescent="0.25">
      <c r="A69" s="8" t="s">
        <v>46</v>
      </c>
      <c r="B69" s="7">
        <v>3</v>
      </c>
      <c r="C69" s="7">
        <v>16</v>
      </c>
      <c r="D69" s="7">
        <f t="shared" si="2"/>
        <v>48</v>
      </c>
      <c r="E69" s="7" t="s">
        <v>47</v>
      </c>
    </row>
    <row r="70" spans="1:5" ht="15.75" x14ac:dyDescent="0.25">
      <c r="A70" s="8" t="s">
        <v>49</v>
      </c>
      <c r="B70" s="7">
        <v>2</v>
      </c>
      <c r="C70" s="7">
        <v>8</v>
      </c>
      <c r="D70" s="7">
        <f t="shared" si="2"/>
        <v>16</v>
      </c>
      <c r="E70" s="7" t="s">
        <v>50</v>
      </c>
    </row>
    <row r="71" spans="1:5" ht="30" x14ac:dyDescent="0.25">
      <c r="C71" s="6" t="s">
        <v>5</v>
      </c>
      <c r="D71" s="17">
        <f>SUM(D52:D70)</f>
        <v>3722.4</v>
      </c>
    </row>
    <row r="74" spans="1:5" x14ac:dyDescent="0.25">
      <c r="A74" t="s">
        <v>58</v>
      </c>
    </row>
    <row r="75" spans="1:5" ht="15.75" x14ac:dyDescent="0.25">
      <c r="A75" s="18" t="s">
        <v>48</v>
      </c>
      <c r="B75" s="18"/>
      <c r="C75" s="18"/>
      <c r="D75" s="18"/>
      <c r="E75" s="18"/>
    </row>
    <row r="76" spans="1:5" ht="45" x14ac:dyDescent="0.25">
      <c r="A76" s="5" t="s">
        <v>0</v>
      </c>
      <c r="B76" s="6" t="s">
        <v>4</v>
      </c>
      <c r="C76" s="5" t="s">
        <v>1</v>
      </c>
      <c r="D76" s="6" t="s">
        <v>5</v>
      </c>
      <c r="E76" s="5" t="s">
        <v>2</v>
      </c>
    </row>
    <row r="77" spans="1:5" ht="15.75" x14ac:dyDescent="0.25">
      <c r="A77" s="8" t="s">
        <v>45</v>
      </c>
      <c r="B77" s="7">
        <v>20</v>
      </c>
      <c r="C77" s="7">
        <v>4</v>
      </c>
      <c r="D77" s="7">
        <f t="shared" ref="D77:D88" si="3">C77*B77</f>
        <v>80</v>
      </c>
      <c r="E77" s="7" t="s">
        <v>44</v>
      </c>
    </row>
    <row r="78" spans="1:5" ht="15.75" x14ac:dyDescent="0.25">
      <c r="A78" s="7" t="s">
        <v>59</v>
      </c>
      <c r="B78" s="7">
        <v>2.5</v>
      </c>
      <c r="C78" s="7">
        <v>8</v>
      </c>
      <c r="D78" s="7">
        <f t="shared" si="3"/>
        <v>20</v>
      </c>
      <c r="E78" s="7" t="s">
        <v>61</v>
      </c>
    </row>
    <row r="79" spans="1:5" ht="15.75" x14ac:dyDescent="0.25">
      <c r="A79" s="7" t="s">
        <v>28</v>
      </c>
      <c r="B79" s="7">
        <v>9</v>
      </c>
      <c r="C79" s="7">
        <v>2</v>
      </c>
      <c r="D79" s="7">
        <f t="shared" si="3"/>
        <v>18</v>
      </c>
      <c r="E79" s="7" t="s">
        <v>29</v>
      </c>
    </row>
    <row r="80" spans="1:5" ht="15.75" x14ac:dyDescent="0.25">
      <c r="A80" s="8" t="s">
        <v>41</v>
      </c>
      <c r="B80" s="7">
        <v>9</v>
      </c>
      <c r="C80" s="7">
        <v>4</v>
      </c>
      <c r="D80" s="7">
        <f t="shared" si="3"/>
        <v>36</v>
      </c>
      <c r="E80" s="7" t="s">
        <v>40</v>
      </c>
    </row>
    <row r="81" spans="1:5" ht="15.75" x14ac:dyDescent="0.25">
      <c r="A81" s="7" t="s">
        <v>51</v>
      </c>
      <c r="B81" s="7">
        <v>4</v>
      </c>
      <c r="C81" s="7">
        <v>6</v>
      </c>
      <c r="D81" s="7">
        <f t="shared" si="3"/>
        <v>24</v>
      </c>
      <c r="E81" s="7" t="s">
        <v>25</v>
      </c>
    </row>
    <row r="82" spans="1:5" ht="15.75" x14ac:dyDescent="0.25">
      <c r="A82" s="7" t="s">
        <v>52</v>
      </c>
      <c r="B82" s="7">
        <v>4</v>
      </c>
      <c r="C82" s="7">
        <v>3</v>
      </c>
      <c r="D82" s="7">
        <f t="shared" si="3"/>
        <v>12</v>
      </c>
      <c r="E82" s="7" t="s">
        <v>25</v>
      </c>
    </row>
    <row r="83" spans="1:5" ht="15.75" x14ac:dyDescent="0.25">
      <c r="A83" s="7" t="s">
        <v>53</v>
      </c>
      <c r="B83" s="7">
        <v>4</v>
      </c>
      <c r="C83" s="7">
        <v>2</v>
      </c>
      <c r="D83" s="7">
        <f t="shared" si="3"/>
        <v>8</v>
      </c>
      <c r="E83" s="7" t="s">
        <v>25</v>
      </c>
    </row>
    <row r="84" spans="1:5" ht="15.75" x14ac:dyDescent="0.25">
      <c r="A84" s="7" t="s">
        <v>30</v>
      </c>
      <c r="B84" s="7">
        <v>2</v>
      </c>
      <c r="C84" s="7">
        <v>6</v>
      </c>
      <c r="D84" s="7">
        <f t="shared" si="3"/>
        <v>12</v>
      </c>
      <c r="E84" s="7" t="s">
        <v>31</v>
      </c>
    </row>
    <row r="85" spans="1:5" ht="15.75" x14ac:dyDescent="0.25">
      <c r="A85" s="7" t="s">
        <v>32</v>
      </c>
      <c r="B85" s="7">
        <v>2</v>
      </c>
      <c r="C85" s="7">
        <v>4</v>
      </c>
      <c r="D85" s="7">
        <f t="shared" si="3"/>
        <v>8</v>
      </c>
      <c r="E85" s="7" t="s">
        <v>33</v>
      </c>
    </row>
    <row r="86" spans="1:5" ht="15.75" x14ac:dyDescent="0.25">
      <c r="A86" s="8" t="s">
        <v>46</v>
      </c>
      <c r="B86" s="7">
        <v>3</v>
      </c>
      <c r="C86" s="7">
        <v>4</v>
      </c>
      <c r="D86" s="7">
        <f t="shared" si="3"/>
        <v>12</v>
      </c>
      <c r="E86" s="7" t="s">
        <v>47</v>
      </c>
    </row>
    <row r="87" spans="1:5" ht="15.75" x14ac:dyDescent="0.25">
      <c r="A87" s="8" t="s">
        <v>49</v>
      </c>
      <c r="B87" s="7">
        <v>2</v>
      </c>
      <c r="C87" s="7">
        <v>4</v>
      </c>
      <c r="D87" s="7">
        <f t="shared" si="3"/>
        <v>8</v>
      </c>
      <c r="E87" s="7" t="s">
        <v>50</v>
      </c>
    </row>
    <row r="88" spans="1:5" ht="15.75" x14ac:dyDescent="0.25">
      <c r="A88" s="7" t="s">
        <v>62</v>
      </c>
      <c r="B88" s="7">
        <v>15</v>
      </c>
      <c r="C88" s="7">
        <v>4</v>
      </c>
      <c r="D88" s="7">
        <f t="shared" si="3"/>
        <v>60</v>
      </c>
      <c r="E88" s="7" t="s">
        <v>63</v>
      </c>
    </row>
    <row r="89" spans="1:5" ht="15.75" x14ac:dyDescent="0.25">
      <c r="A89" s="1"/>
      <c r="B89" s="1"/>
      <c r="C89" s="7" t="s">
        <v>60</v>
      </c>
      <c r="D89" s="7">
        <f>SUM(D77:D88)</f>
        <v>298</v>
      </c>
      <c r="E89" s="1"/>
    </row>
    <row r="90" spans="1:5" ht="15.75" x14ac:dyDescent="0.25">
      <c r="A90" s="1"/>
      <c r="B90" s="1"/>
      <c r="C90" s="1"/>
      <c r="D90" s="1"/>
      <c r="E90" s="1"/>
    </row>
    <row r="91" spans="1:5" ht="15.75" x14ac:dyDescent="0.25">
      <c r="A91" s="1"/>
      <c r="B91" s="1"/>
      <c r="C91" s="1"/>
      <c r="D91" s="1"/>
      <c r="E91" s="1"/>
    </row>
    <row r="92" spans="1:5" ht="15.75" x14ac:dyDescent="0.25">
      <c r="A92" s="1"/>
      <c r="B92" s="1"/>
      <c r="C92" s="1"/>
      <c r="D92" s="1"/>
      <c r="E92" s="1"/>
    </row>
    <row r="93" spans="1:5" ht="15.75" x14ac:dyDescent="0.25">
      <c r="A93" s="1"/>
      <c r="B93" s="1"/>
      <c r="C93" s="1"/>
      <c r="D93" s="1"/>
      <c r="E93" s="1"/>
    </row>
    <row r="94" spans="1:5" ht="15.75" x14ac:dyDescent="0.25">
      <c r="A94" s="1"/>
      <c r="B94" s="1"/>
      <c r="C94" s="1"/>
      <c r="D94" s="1"/>
      <c r="E94" s="1"/>
    </row>
    <row r="95" spans="1:5" ht="15.75" x14ac:dyDescent="0.25">
      <c r="A95" s="1"/>
      <c r="B95" s="1"/>
      <c r="C95" s="1"/>
      <c r="D95" s="1"/>
      <c r="E95" s="1"/>
    </row>
  </sheetData>
  <mergeCells count="4">
    <mergeCell ref="A1:E1"/>
    <mergeCell ref="A34:E34"/>
    <mergeCell ref="A50:E50"/>
    <mergeCell ref="A75:E75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2013-09-08T02:45:53Z</dcterms:created>
  <dcterms:modified xsi:type="dcterms:W3CDTF">2013-09-11T03:12:37Z</dcterms:modified>
</cp:coreProperties>
</file>